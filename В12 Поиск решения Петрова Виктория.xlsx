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VSeti\Documents\"/>
    </mc:Choice>
  </mc:AlternateContent>
  <xr:revisionPtr revIDLastSave="0" documentId="8_{77BD40AB-BA9D-4205-AFEA-E3DB462AEE4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Инвестиции!$G$6:$G$13</definedName>
    <definedName name="solver_adj" localSheetId="4" hidden="1">Назначения!$C$16:$F$19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2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Инвестиции!$G$6:$G$13</definedName>
    <definedName name="solver_lhs1" localSheetId="4" hidden="1">Назначения!$C$16:$F$19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Инвестиции!$J$8</definedName>
    <definedName name="solver_lhs2" localSheetId="4" hidden="1">Назначения!$C$20:$F$20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Назначения!$G$16:$G$19</definedName>
    <definedName name="solver_lhs3" localSheetId="2" hidden="1">Тр.Задача!$H$15:$H$18</definedName>
    <definedName name="solver_lhs4" localSheetId="4" hidden="1">Назначения!$L$16:$L$19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Инвестиции!$J$9</definedName>
    <definedName name="solver_opt" localSheetId="4" hidden="1">Назначения!$J$16</definedName>
    <definedName name="solver_opt" localSheetId="0" hidden="1">Опт.План!$G$20</definedName>
    <definedName name="solver_opt" localSheetId="2" hidden="1">Тр.Задача!$J$21</definedName>
    <definedName name="solver_opt" localSheetId="1" hidden="1">Шт.Расписание!$H$15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1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Назначения!$M$16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3" l="1"/>
  <c r="C21" i="2"/>
  <c r="D21" i="2"/>
  <c r="B21" i="2"/>
  <c r="E20" i="2"/>
  <c r="E19" i="2"/>
  <c r="L18" i="6"/>
  <c r="L17" i="6"/>
  <c r="L19" i="6"/>
  <c r="L16" i="6"/>
  <c r="D20" i="6"/>
  <c r="E20" i="6"/>
  <c r="F20" i="6"/>
  <c r="J16" i="6"/>
  <c r="M16" i="6" s="1"/>
  <c r="G17" i="6"/>
  <c r="G18" i="6"/>
  <c r="G19" i="6"/>
  <c r="G16" i="6"/>
  <c r="C20" i="6"/>
  <c r="J9" i="5"/>
  <c r="J8" i="5"/>
  <c r="J21" i="4"/>
  <c r="H16" i="4"/>
  <c r="H17" i="4"/>
  <c r="H18" i="4"/>
  <c r="H15" i="4"/>
  <c r="D19" i="4"/>
  <c r="E19" i="4"/>
  <c r="F19" i="4"/>
  <c r="G19" i="4"/>
  <c r="C19" i="4"/>
  <c r="E11" i="3"/>
  <c r="E10" i="3"/>
  <c r="E9" i="3"/>
  <c r="E8" i="3"/>
  <c r="E7" i="3"/>
  <c r="E6" i="3"/>
  <c r="E5" i="3"/>
  <c r="G20" i="2" l="1"/>
</calcChain>
</file>

<file path=xl/sharedStrings.xml><?xml version="1.0" encoding="utf-8"?>
<sst xmlns="http://schemas.openxmlformats.org/spreadsheetml/2006/main" count="107" uniqueCount="63">
  <si>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</si>
  <si>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</si>
  <si>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</si>
  <si>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</si>
  <si>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</si>
  <si>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</si>
  <si>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</si>
  <si>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</si>
  <si>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</si>
  <si>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</si>
  <si>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</si>
  <si>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</si>
  <si>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</si>
  <si>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</si>
  <si>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</si>
  <si>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</si>
  <si>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</si>
  <si>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</si>
  <si>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</si>
  <si>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</si>
  <si>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</si>
  <si>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</si>
  <si>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</si>
  <si>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</si>
  <si>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</si>
  <si>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</si>
  <si>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</si>
  <si>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</si>
  <si>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</si>
  <si>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</si>
  <si>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</si>
  <si>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</si>
  <si>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</si>
  <si>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</si>
  <si>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</si>
  <si>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</si>
  <si>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</si>
  <si>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</si>
  <si>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</si>
  <si>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</si>
  <si>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</si>
  <si>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</si>
  <si>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</si>
  <si>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</si>
  <si>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</si>
  <si>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</si>
  <si>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>Факт</t>
  </si>
  <si>
    <t>Кол-во</t>
  </si>
  <si>
    <t>Бригада</t>
  </si>
  <si>
    <t>Выходные</t>
  </si>
  <si>
    <t>вторник, среда</t>
  </si>
  <si>
    <t>среда, четверг</t>
  </si>
  <si>
    <t>четверг, пятница</t>
  </si>
  <si>
    <t>пятница, суббота</t>
  </si>
  <si>
    <t>суббота, воскресенье</t>
  </si>
  <si>
    <t>воскресенье, понедельник</t>
  </si>
  <si>
    <t>понедельник, вторник</t>
  </si>
  <si>
    <t>Целевая функция</t>
  </si>
  <si>
    <t>Участие</t>
  </si>
  <si>
    <t>Затраты</t>
  </si>
  <si>
    <t>Прибыль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</si>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</sst>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5" borderId="0" xfId="0" applyFont="1" applyFill="1" applyBorder="1" applyAlignment="1">
      <alignment vertical="center" wrapText="1"/>
    </xf>
    <xf numFmtId="0" fontId="0" fillId="6" borderId="0" xfId="0" applyFill="1"/>
    <xf numFmtId="0" fontId="0" fillId="0" borderId="3" xfId="0" applyBorder="1"/>
    <xf numFmtId="0" fontId="0" fillId="7" borderId="4" xfId="0" applyFill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5" borderId="0" xfId="0" applyFill="1"/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0" xfId="0" applyFill="1"/>
    <xf numFmtId="0" fontId="0" fillId="5" borderId="0" xfId="0" applyFill="1" applyAlignment="1">
      <alignment horizontal="center"/>
    </xf>
    <xf numFmtId="0" fontId="0" fillId="10" borderId="1" xfId="0" applyFill="1" applyBorder="1"/>
    <xf numFmtId="0" fontId="0" fillId="7" borderId="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0" fillId="11" borderId="0" xfId="0" applyFill="1"/>
    <xf numFmtId="164" fontId="0" fillId="5" borderId="0" xfId="0" applyNumberFormat="1" applyFill="1"/>
  </cellXfs>
  <cellStyles count="2">
    <cellStyle name="Гиперссылка" xfId="1" builtinId="8"/>
    <cellStyle name="Обычный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0</xdr:rowOff>
    </xdr:from>
    <xdr:to>
      <xdr:col>18</xdr:col>
      <xdr:colOff>19050</xdr:colOff>
      <xdr:row>15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458450" y="0"/>
          <a:ext cx="4876800" cy="364236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12</xdr:col>
      <xdr:colOff>100965</xdr:colOff>
      <xdr:row>0</xdr:row>
      <xdr:rowOff>0</xdr:rowOff>
    </xdr:from>
    <xdr:to>
      <xdr:col>18</xdr:col>
      <xdr:colOff>542925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9425940" y="0"/>
          <a:ext cx="4099560" cy="38100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10</xdr:col>
      <xdr:colOff>361950</xdr:colOff>
      <xdr:row>0</xdr:row>
      <xdr:rowOff>0</xdr:rowOff>
    </xdr:from>
    <xdr:to>
      <xdr:col>18</xdr:col>
      <xdr:colOff>114300</xdr:colOff>
      <xdr:row>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829550" y="0"/>
          <a:ext cx="4629150" cy="17526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448507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opLeftCell="A4" workbookViewId="0">
      <selection activeCell="G20" sqref="G20"/>
    </sheetView>
  </sheetViews>
  <sheetFormatPr defaultRowHeight="15" x14ac:dyDescent="0.25"/>
  <cols>
    <col min="1" max="1" width="27.7109375" customWidth="1"/>
    <col min="5" max="5" width="14.28515625" customWidth="1"/>
    <col min="7" max="7" width="25.5703125" customWidth="1"/>
  </cols>
  <sheetData>
    <row r="1" spans="1:15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25">
      <c r="A2" s="11" t="s">
        <v>12</v>
      </c>
    </row>
    <row r="3" spans="1:15" s="1" customFormat="1" x14ac:dyDescent="0.25">
      <c r="E3" s="7" t="s">
        <v>9</v>
      </c>
    </row>
    <row r="4" spans="1:15" x14ac:dyDescent="0.25">
      <c r="A4" s="34" t="s">
        <v>0</v>
      </c>
      <c r="B4" s="35" t="s">
        <v>1</v>
      </c>
      <c r="C4" s="35"/>
      <c r="D4" s="35"/>
      <c r="E4" s="35" t="s">
        <v>2</v>
      </c>
    </row>
    <row r="5" spans="1:15" x14ac:dyDescent="0.25">
      <c r="A5" s="34"/>
      <c r="B5" s="3" t="s">
        <v>3</v>
      </c>
      <c r="C5" s="3" t="s">
        <v>4</v>
      </c>
      <c r="D5" s="3" t="s">
        <v>5</v>
      </c>
      <c r="E5" s="35"/>
    </row>
    <row r="6" spans="1:15" x14ac:dyDescent="0.25">
      <c r="A6" s="3" t="s">
        <v>6</v>
      </c>
      <c r="B6" s="4">
        <v>3.0000000000000002E-2</v>
      </c>
      <c r="C6" s="8">
        <v>1.7000000000000001E-2</v>
      </c>
      <c r="D6" s="8">
        <v>2.8000000000000001E-2</v>
      </c>
      <c r="E6" s="3">
        <v>350</v>
      </c>
    </row>
    <row r="7" spans="1:15" x14ac:dyDescent="0.25">
      <c r="A7" s="3" t="s">
        <v>7</v>
      </c>
      <c r="B7" s="4">
        <v>0.06</v>
      </c>
      <c r="C7" s="8">
        <v>6.4000000000000001E-2</v>
      </c>
      <c r="D7" s="8">
        <v>5.9000000000000004E-2</v>
      </c>
      <c r="E7" s="3">
        <v>350</v>
      </c>
    </row>
    <row r="8" spans="1:15" x14ac:dyDescent="0.25">
      <c r="A8" s="3" t="s">
        <v>8</v>
      </c>
      <c r="B8" s="5">
        <v>0.97</v>
      </c>
      <c r="C8" s="5">
        <v>0.92</v>
      </c>
      <c r="D8" s="5">
        <v>0.89</v>
      </c>
      <c r="E8" s="6"/>
    </row>
    <row r="11" spans="1:15" x14ac:dyDescent="0.25">
      <c r="E11" s="7" t="s">
        <v>10</v>
      </c>
    </row>
    <row r="12" spans="1:15" ht="18" x14ac:dyDescent="0.25">
      <c r="A12" s="36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25">
      <c r="A13" s="37"/>
      <c r="B13" s="3">
        <v>70</v>
      </c>
      <c r="C13" s="3">
        <v>190</v>
      </c>
      <c r="D13" s="3">
        <v>310</v>
      </c>
      <c r="E13" s="3">
        <v>660</v>
      </c>
    </row>
    <row r="17" spans="1:7" x14ac:dyDescent="0.25">
      <c r="A17" s="34" t="s">
        <v>0</v>
      </c>
      <c r="B17" s="35" t="s">
        <v>1</v>
      </c>
      <c r="C17" s="35"/>
      <c r="D17" s="35"/>
    </row>
    <row r="18" spans="1:7" x14ac:dyDescent="0.25">
      <c r="A18" s="34"/>
      <c r="B18" s="28" t="s">
        <v>3</v>
      </c>
      <c r="C18" s="28" t="s">
        <v>4</v>
      </c>
      <c r="D18" s="28" t="s">
        <v>5</v>
      </c>
    </row>
    <row r="19" spans="1:7" x14ac:dyDescent="0.25">
      <c r="A19" s="28" t="s">
        <v>6</v>
      </c>
      <c r="B19" s="51">
        <v>32</v>
      </c>
      <c r="C19" s="51">
        <v>54</v>
      </c>
      <c r="D19" s="51">
        <v>31</v>
      </c>
      <c r="E19">
        <f>SUM(B19:D19)</f>
        <v>117</v>
      </c>
      <c r="G19" s="32" t="s">
        <v>57</v>
      </c>
    </row>
    <row r="20" spans="1:7" x14ac:dyDescent="0.25">
      <c r="A20" s="28" t="s">
        <v>7</v>
      </c>
      <c r="B20" s="51">
        <v>0</v>
      </c>
      <c r="C20" s="51">
        <v>0</v>
      </c>
      <c r="D20" s="51">
        <v>0</v>
      </c>
      <c r="E20">
        <f>SUM(B20:D20)</f>
        <v>0</v>
      </c>
      <c r="G20" s="33">
        <f>SUMPRODUCT(E19:E20,E6:E7)</f>
        <v>40950</v>
      </c>
    </row>
    <row r="21" spans="1:7" x14ac:dyDescent="0.25">
      <c r="B21" s="55">
        <f>SUMPRODUCT(B19:B20,B6:B7)</f>
        <v>0.96000000000000008</v>
      </c>
      <c r="C21" s="55">
        <f t="shared" ref="C21:D21" si="0">SUMPRODUCT(C19:C20,C6:C7)</f>
        <v>0.91800000000000004</v>
      </c>
      <c r="D21" s="55">
        <f t="shared" si="0"/>
        <v>0.86799999999999999</v>
      </c>
    </row>
  </sheetData>
  <mergeCells count="6">
    <mergeCell ref="A4:A5"/>
    <mergeCell ref="B4:D4"/>
    <mergeCell ref="E4:E5"/>
    <mergeCell ref="A12:A13"/>
    <mergeCell ref="A17:A18"/>
    <mergeCell ref="B17:D17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opLeftCell="B4" workbookViewId="0">
      <selection activeCell="G15" sqref="G15"/>
    </sheetView>
  </sheetViews>
  <sheetFormatPr defaultRowHeight="15" x14ac:dyDescent="0.25"/>
  <cols>
    <col min="1" max="1" width="17.140625" customWidth="1"/>
    <col min="2" max="2" width="35.85546875" customWidth="1"/>
    <col min="3" max="3" width="16.85546875" customWidth="1"/>
    <col min="5" max="5" width="14.28515625" customWidth="1"/>
    <col min="8" max="8" width="26.7109375" customWidth="1"/>
  </cols>
  <sheetData>
    <row r="1" spans="1:14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11" t="s">
        <v>12</v>
      </c>
    </row>
    <row r="3" spans="1:14" s="1" customFormat="1" x14ac:dyDescent="0.25">
      <c r="A3" s="7" t="s">
        <v>9</v>
      </c>
    </row>
    <row r="4" spans="1:14" ht="30" x14ac:dyDescent="0.25">
      <c r="A4" s="12" t="s">
        <v>24</v>
      </c>
      <c r="B4" s="12" t="s">
        <v>25</v>
      </c>
      <c r="C4" s="9" t="s">
        <v>26</v>
      </c>
      <c r="D4" s="13"/>
      <c r="E4" s="13" t="s">
        <v>46</v>
      </c>
      <c r="F4" s="29" t="s">
        <v>47</v>
      </c>
      <c r="G4" s="29" t="s">
        <v>48</v>
      </c>
      <c r="H4" s="29" t="s">
        <v>49</v>
      </c>
    </row>
    <row r="5" spans="1:14" x14ac:dyDescent="0.25">
      <c r="A5" s="14"/>
      <c r="B5" s="14" t="s">
        <v>17</v>
      </c>
      <c r="C5" s="10">
        <v>15</v>
      </c>
      <c r="D5" s="13"/>
      <c r="E5" s="30">
        <f>F6+F7+F8+F9+F10</f>
        <v>15</v>
      </c>
      <c r="F5" s="31">
        <v>6</v>
      </c>
      <c r="G5">
        <v>1</v>
      </c>
      <c r="H5" t="s">
        <v>56</v>
      </c>
    </row>
    <row r="6" spans="1:14" x14ac:dyDescent="0.25">
      <c r="A6" s="14"/>
      <c r="B6" s="14" t="s">
        <v>18</v>
      </c>
      <c r="C6" s="10">
        <v>15</v>
      </c>
      <c r="D6" s="13"/>
      <c r="E6" s="30">
        <f>F7+F8+F9+F10+F11</f>
        <v>15</v>
      </c>
      <c r="F6" s="31">
        <v>2</v>
      </c>
      <c r="G6">
        <v>2</v>
      </c>
      <c r="H6" t="s">
        <v>50</v>
      </c>
    </row>
    <row r="7" spans="1:14" x14ac:dyDescent="0.25">
      <c r="A7" s="14"/>
      <c r="B7" s="14" t="s">
        <v>19</v>
      </c>
      <c r="C7" s="10">
        <v>15</v>
      </c>
      <c r="D7" s="13"/>
      <c r="E7" s="30">
        <f>F5+F8+F9+F10+F11</f>
        <v>15</v>
      </c>
      <c r="F7" s="31">
        <v>6</v>
      </c>
      <c r="G7">
        <v>3</v>
      </c>
      <c r="H7" t="s">
        <v>51</v>
      </c>
    </row>
    <row r="8" spans="1:14" x14ac:dyDescent="0.25">
      <c r="A8" s="14"/>
      <c r="B8" s="14" t="s">
        <v>20</v>
      </c>
      <c r="C8" s="10">
        <v>12</v>
      </c>
      <c r="D8" s="13"/>
      <c r="E8" s="30">
        <f>F5+F6+F9+F10+F11</f>
        <v>12</v>
      </c>
      <c r="F8" s="31">
        <v>5</v>
      </c>
      <c r="G8">
        <v>4</v>
      </c>
      <c r="H8" t="s">
        <v>52</v>
      </c>
    </row>
    <row r="9" spans="1:14" x14ac:dyDescent="0.25">
      <c r="A9" s="14"/>
      <c r="B9" s="14" t="s">
        <v>21</v>
      </c>
      <c r="C9" s="10">
        <v>18</v>
      </c>
      <c r="D9" s="13"/>
      <c r="E9" s="30">
        <f>F5+F6+F7+F10+F11</f>
        <v>18</v>
      </c>
      <c r="F9" s="31">
        <v>0</v>
      </c>
      <c r="G9">
        <v>5</v>
      </c>
      <c r="H9" t="s">
        <v>53</v>
      </c>
    </row>
    <row r="10" spans="1:14" x14ac:dyDescent="0.25">
      <c r="A10" s="14"/>
      <c r="B10" s="14" t="s">
        <v>22</v>
      </c>
      <c r="C10" s="10">
        <v>21</v>
      </c>
      <c r="D10" s="13"/>
      <c r="E10" s="30">
        <f>F5+F6+F7+F8+F11</f>
        <v>21</v>
      </c>
      <c r="F10" s="31">
        <v>2</v>
      </c>
      <c r="G10">
        <v>6</v>
      </c>
      <c r="H10" t="s">
        <v>54</v>
      </c>
    </row>
    <row r="11" spans="1:14" x14ac:dyDescent="0.25">
      <c r="A11" s="14"/>
      <c r="B11" s="14" t="s">
        <v>23</v>
      </c>
      <c r="C11" s="10">
        <v>19</v>
      </c>
      <c r="D11" s="13"/>
      <c r="E11" s="30">
        <f>F5+F6+F7+F8+F9</f>
        <v>19</v>
      </c>
      <c r="F11" s="31">
        <v>2</v>
      </c>
      <c r="G11">
        <v>7</v>
      </c>
      <c r="H11" t="s">
        <v>55</v>
      </c>
    </row>
    <row r="12" spans="1:14" x14ac:dyDescent="0.25">
      <c r="A12" s="13"/>
      <c r="B12" s="13"/>
      <c r="C12" s="13"/>
      <c r="D12" s="13"/>
      <c r="E12" s="13"/>
    </row>
    <row r="13" spans="1:14" x14ac:dyDescent="0.25">
      <c r="A13" s="7" t="s">
        <v>13</v>
      </c>
      <c r="B13" s="13"/>
      <c r="C13" s="13"/>
      <c r="D13" s="13"/>
      <c r="E13" s="13"/>
    </row>
    <row r="14" spans="1:14" x14ac:dyDescent="0.25">
      <c r="A14" s="12" t="s">
        <v>14</v>
      </c>
      <c r="B14" s="12" t="s">
        <v>15</v>
      </c>
      <c r="C14" s="9" t="s">
        <v>16</v>
      </c>
      <c r="H14" s="32" t="s">
        <v>57</v>
      </c>
    </row>
    <row r="15" spans="1:14" x14ac:dyDescent="0.25">
      <c r="A15" s="15"/>
      <c r="B15" s="14" t="s">
        <v>17</v>
      </c>
      <c r="C15" s="10">
        <v>2200</v>
      </c>
      <c r="H15" s="33">
        <f>SUMPRODUCT(E5:E11,C15:C21)</f>
        <v>271300</v>
      </c>
    </row>
    <row r="16" spans="1:14" x14ac:dyDescent="0.25">
      <c r="A16" s="15"/>
      <c r="B16" s="14" t="s">
        <v>18</v>
      </c>
      <c r="C16" s="10">
        <v>2000</v>
      </c>
    </row>
    <row r="17" spans="1:3" x14ac:dyDescent="0.25">
      <c r="A17" s="15"/>
      <c r="B17" s="14" t="s">
        <v>19</v>
      </c>
      <c r="C17" s="10">
        <v>1900</v>
      </c>
    </row>
    <row r="18" spans="1:3" x14ac:dyDescent="0.25">
      <c r="A18" s="15"/>
      <c r="B18" s="14" t="s">
        <v>20</v>
      </c>
      <c r="C18" s="10">
        <v>2200</v>
      </c>
    </row>
    <row r="19" spans="1:3" x14ac:dyDescent="0.25">
      <c r="A19" s="15"/>
      <c r="B19" s="14" t="s">
        <v>21</v>
      </c>
      <c r="C19" s="10">
        <v>2300</v>
      </c>
    </row>
    <row r="20" spans="1:3" x14ac:dyDescent="0.25">
      <c r="A20" s="15"/>
      <c r="B20" s="14" t="s">
        <v>22</v>
      </c>
      <c r="C20" s="10">
        <v>2800</v>
      </c>
    </row>
    <row r="21" spans="1:3" x14ac:dyDescent="0.25">
      <c r="A21" s="15"/>
      <c r="B21" s="14" t="s">
        <v>23</v>
      </c>
      <c r="C21" s="10">
        <v>2800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topLeftCell="B5" workbookViewId="0">
      <selection activeCell="J21" sqref="J21"/>
    </sheetView>
  </sheetViews>
  <sheetFormatPr defaultRowHeight="15" x14ac:dyDescent="0.25"/>
  <cols>
    <col min="1" max="1" width="6.28515625" customWidth="1"/>
    <col min="2" max="2" width="17.28515625" customWidth="1"/>
    <col min="3" max="7" width="14.28515625" customWidth="1"/>
    <col min="8" max="8" width="8.28515625" customWidth="1"/>
    <col min="10" max="10" width="18" customWidth="1"/>
  </cols>
  <sheetData>
    <row r="1" spans="1:14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11" t="s">
        <v>12</v>
      </c>
    </row>
    <row r="3" spans="1:14" s="1" customFormat="1" x14ac:dyDescent="0.25">
      <c r="A3" s="7"/>
    </row>
    <row r="5" spans="1:14" x14ac:dyDescent="0.25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8.5" x14ac:dyDescent="0.25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25">
      <c r="A7" s="14">
        <v>1</v>
      </c>
      <c r="B7" s="14" t="s">
        <v>32</v>
      </c>
      <c r="C7" s="16">
        <v>1.5</v>
      </c>
      <c r="D7" s="16">
        <v>2.25</v>
      </c>
      <c r="E7" s="16">
        <v>1.25</v>
      </c>
      <c r="F7" s="16">
        <v>2.25</v>
      </c>
      <c r="G7" s="16">
        <v>2.25</v>
      </c>
      <c r="H7" s="48">
        <v>230</v>
      </c>
    </row>
    <row r="8" spans="1:14" x14ac:dyDescent="0.25">
      <c r="A8" s="14">
        <v>2</v>
      </c>
      <c r="B8" s="14" t="s">
        <v>33</v>
      </c>
      <c r="C8" s="16">
        <v>2.75</v>
      </c>
      <c r="D8" s="16">
        <v>2.5</v>
      </c>
      <c r="E8" s="16">
        <v>1.75</v>
      </c>
      <c r="F8" s="16">
        <v>0.75</v>
      </c>
      <c r="G8" s="16">
        <v>1.5</v>
      </c>
      <c r="H8" s="48">
        <v>160</v>
      </c>
    </row>
    <row r="9" spans="1:14" x14ac:dyDescent="0.25">
      <c r="A9" s="14">
        <v>3</v>
      </c>
      <c r="B9" s="14" t="s">
        <v>34</v>
      </c>
      <c r="C9" s="16">
        <v>1.5</v>
      </c>
      <c r="D9" s="16">
        <v>2</v>
      </c>
      <c r="E9" s="16">
        <v>1.5</v>
      </c>
      <c r="F9" s="16">
        <v>1.5</v>
      </c>
      <c r="G9" s="16">
        <v>2.25</v>
      </c>
      <c r="H9" s="48">
        <v>275</v>
      </c>
    </row>
    <row r="10" spans="1:14" x14ac:dyDescent="0.25">
      <c r="A10" s="14">
        <v>4</v>
      </c>
      <c r="B10" s="14" t="s">
        <v>28</v>
      </c>
      <c r="C10" s="16">
        <v>2.25</v>
      </c>
      <c r="D10" s="16">
        <v>0.75</v>
      </c>
      <c r="E10" s="16">
        <v>1.75</v>
      </c>
      <c r="F10" s="16">
        <v>2</v>
      </c>
      <c r="G10" s="16">
        <v>1.75</v>
      </c>
      <c r="H10" s="48">
        <v>165</v>
      </c>
    </row>
    <row r="11" spans="1:14" x14ac:dyDescent="0.25">
      <c r="A11" s="14"/>
      <c r="B11" s="14"/>
      <c r="C11" s="47">
        <v>70</v>
      </c>
      <c r="D11" s="47">
        <v>230</v>
      </c>
      <c r="E11" s="47">
        <v>90</v>
      </c>
      <c r="F11" s="47">
        <v>230</v>
      </c>
      <c r="G11" s="47">
        <v>210</v>
      </c>
      <c r="H11" s="16"/>
    </row>
    <row r="13" spans="1:14" x14ac:dyDescent="0.25">
      <c r="B13" s="7" t="s">
        <v>9</v>
      </c>
    </row>
    <row r="14" spans="1:14" ht="28.5" x14ac:dyDescent="0.25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25">
      <c r="B15" s="14" t="s">
        <v>32</v>
      </c>
      <c r="C15" s="45">
        <v>70</v>
      </c>
      <c r="D15" s="44">
        <v>0</v>
      </c>
      <c r="E15" s="44">
        <v>90</v>
      </c>
      <c r="F15" s="44">
        <v>0</v>
      </c>
      <c r="G15" s="44">
        <v>70</v>
      </c>
      <c r="H15" s="49">
        <f>SUM(C15:G15)</f>
        <v>230</v>
      </c>
    </row>
    <row r="16" spans="1:14" x14ac:dyDescent="0.25">
      <c r="B16" s="14" t="s">
        <v>33</v>
      </c>
      <c r="C16" s="44">
        <v>0</v>
      </c>
      <c r="D16" s="44">
        <v>0</v>
      </c>
      <c r="E16" s="44">
        <v>0</v>
      </c>
      <c r="F16" s="44">
        <v>85</v>
      </c>
      <c r="G16" s="44">
        <v>75</v>
      </c>
      <c r="H16" s="49">
        <f t="shared" ref="H16:H18" si="0">SUM(C16:G16)</f>
        <v>160</v>
      </c>
    </row>
    <row r="17" spans="2:10" x14ac:dyDescent="0.25">
      <c r="B17" s="14" t="s">
        <v>34</v>
      </c>
      <c r="C17" s="44">
        <v>0</v>
      </c>
      <c r="D17" s="44">
        <v>65</v>
      </c>
      <c r="E17" s="44">
        <v>0</v>
      </c>
      <c r="F17" s="44">
        <v>145</v>
      </c>
      <c r="G17" s="44">
        <v>65</v>
      </c>
      <c r="H17" s="49">
        <f t="shared" si="0"/>
        <v>275</v>
      </c>
    </row>
    <row r="18" spans="2:10" x14ac:dyDescent="0.25">
      <c r="B18" s="14" t="s">
        <v>28</v>
      </c>
      <c r="C18" s="44">
        <v>0</v>
      </c>
      <c r="D18" s="44">
        <v>165</v>
      </c>
      <c r="E18" s="44">
        <v>0</v>
      </c>
      <c r="F18" s="44">
        <v>0</v>
      </c>
      <c r="G18" s="44">
        <v>0</v>
      </c>
      <c r="H18" s="49">
        <f t="shared" si="0"/>
        <v>165</v>
      </c>
    </row>
    <row r="19" spans="2:10" x14ac:dyDescent="0.25">
      <c r="C19" s="50">
        <f>SUM(C15:C18)</f>
        <v>70</v>
      </c>
      <c r="D19" s="50">
        <f t="shared" ref="D19:G19" si="1">SUM(D15:D18)</f>
        <v>230</v>
      </c>
      <c r="E19" s="50">
        <f t="shared" si="1"/>
        <v>90</v>
      </c>
      <c r="F19" s="50">
        <f t="shared" si="1"/>
        <v>230</v>
      </c>
      <c r="G19" s="50">
        <f t="shared" si="1"/>
        <v>210</v>
      </c>
    </row>
    <row r="20" spans="2:10" x14ac:dyDescent="0.25">
      <c r="J20" s="32" t="s">
        <v>57</v>
      </c>
    </row>
    <row r="21" spans="2:10" x14ac:dyDescent="0.25">
      <c r="J21" s="33">
        <f>SUMPRODUCT(C15:G18,C7:G10)</f>
        <v>1168.75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J9" sqref="J9"/>
    </sheetView>
  </sheetViews>
  <sheetFormatPr defaultRowHeight="15" x14ac:dyDescent="0.25"/>
  <cols>
    <col min="2" max="3" width="16.7109375" customWidth="1"/>
    <col min="10" max="10" width="14.5703125" customWidth="1"/>
  </cols>
  <sheetData>
    <row r="1" spans="1:10" s="1" customFormat="1" ht="48" customHeight="1" x14ac:dyDescent="0.25">
      <c r="A1" s="2"/>
      <c r="B1" s="2"/>
      <c r="C1" s="2"/>
      <c r="D1" s="2"/>
      <c r="E1" s="2"/>
      <c r="F1" s="2"/>
      <c r="G1" s="2"/>
      <c r="H1" s="2"/>
    </row>
    <row r="2" spans="1:10" x14ac:dyDescent="0.25">
      <c r="A2" s="11" t="s">
        <v>12</v>
      </c>
    </row>
    <row r="4" spans="1:10" x14ac:dyDescent="0.25">
      <c r="A4" s="7" t="s">
        <v>9</v>
      </c>
      <c r="E4" s="7" t="s">
        <v>41</v>
      </c>
    </row>
    <row r="5" spans="1:10" x14ac:dyDescent="0.25">
      <c r="A5" s="14" t="s">
        <v>42</v>
      </c>
      <c r="B5" s="14" t="s">
        <v>43</v>
      </c>
      <c r="C5" s="14" t="s">
        <v>44</v>
      </c>
      <c r="E5" s="27" t="s">
        <v>45</v>
      </c>
      <c r="G5" t="s">
        <v>58</v>
      </c>
    </row>
    <row r="6" spans="1:10" x14ac:dyDescent="0.25">
      <c r="A6" s="14">
        <v>1</v>
      </c>
      <c r="B6" s="14">
        <v>21800</v>
      </c>
      <c r="C6" s="14">
        <v>9500</v>
      </c>
      <c r="E6" s="17">
        <v>49000</v>
      </c>
      <c r="G6" s="51">
        <v>0</v>
      </c>
    </row>
    <row r="7" spans="1:10" x14ac:dyDescent="0.25">
      <c r="A7" s="14">
        <v>2</v>
      </c>
      <c r="B7" s="14">
        <v>16000</v>
      </c>
      <c r="C7" s="14">
        <v>6800</v>
      </c>
      <c r="E7" s="17">
        <v>90000</v>
      </c>
      <c r="G7" s="51">
        <v>0</v>
      </c>
    </row>
    <row r="8" spans="1:10" x14ac:dyDescent="0.25">
      <c r="A8" s="14">
        <v>3</v>
      </c>
      <c r="B8" s="14">
        <v>11300</v>
      </c>
      <c r="C8" s="14">
        <v>5700</v>
      </c>
      <c r="G8" s="51">
        <v>1</v>
      </c>
      <c r="I8" t="s">
        <v>59</v>
      </c>
      <c r="J8" s="15">
        <f>SUMPRODUCT(G6:G13,B6:B13)</f>
        <v>48000</v>
      </c>
    </row>
    <row r="9" spans="1:10" x14ac:dyDescent="0.25">
      <c r="A9" s="14">
        <v>4</v>
      </c>
      <c r="B9" s="14">
        <v>9200</v>
      </c>
      <c r="C9" s="14">
        <v>5900</v>
      </c>
      <c r="G9" s="51">
        <v>1</v>
      </c>
      <c r="I9" t="s">
        <v>60</v>
      </c>
      <c r="J9" s="52">
        <f>SUMPRODUCT(G6:G13,C6:C13)</f>
        <v>25300</v>
      </c>
    </row>
    <row r="10" spans="1:10" x14ac:dyDescent="0.25">
      <c r="A10" s="14">
        <v>5</v>
      </c>
      <c r="B10" s="14">
        <v>9000</v>
      </c>
      <c r="C10" s="14">
        <v>4100</v>
      </c>
      <c r="G10" s="51">
        <v>1</v>
      </c>
    </row>
    <row r="11" spans="1:10" x14ac:dyDescent="0.25">
      <c r="A11" s="14">
        <v>6</v>
      </c>
      <c r="B11" s="14">
        <v>7200</v>
      </c>
      <c r="C11" s="14">
        <v>4500</v>
      </c>
      <c r="G11" s="51">
        <v>1</v>
      </c>
    </row>
    <row r="12" spans="1:10" x14ac:dyDescent="0.25">
      <c r="A12" s="14">
        <v>7</v>
      </c>
      <c r="B12" s="14">
        <v>7800</v>
      </c>
      <c r="C12" s="14">
        <v>3100</v>
      </c>
      <c r="G12" s="51">
        <v>1</v>
      </c>
    </row>
    <row r="13" spans="1:10" x14ac:dyDescent="0.25">
      <c r="A13" s="14">
        <v>8</v>
      </c>
      <c r="B13" s="14">
        <v>3500</v>
      </c>
      <c r="C13" s="14">
        <v>2000</v>
      </c>
      <c r="G13" s="51">
        <v>1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tabSelected="1" workbookViewId="0">
      <selection activeCell="J16" sqref="J16"/>
    </sheetView>
  </sheetViews>
  <sheetFormatPr defaultRowHeight="15" x14ac:dyDescent="0.25"/>
  <cols>
    <col min="7" max="7" width="9.5703125" customWidth="1"/>
    <col min="8" max="8" width="9.140625" customWidth="1"/>
    <col min="10" max="10" width="19.28515625" customWidth="1"/>
    <col min="12" max="12" width="13.140625" customWidth="1"/>
  </cols>
  <sheetData>
    <row r="1" spans="1:13" s="1" customFormat="1" ht="48" customHeight="1" x14ac:dyDescent="0.25">
      <c r="A1" s="2"/>
      <c r="B1" s="2"/>
      <c r="C1" s="2"/>
      <c r="D1" s="2"/>
      <c r="E1" s="2"/>
      <c r="F1" s="2"/>
      <c r="G1" s="2"/>
      <c r="H1" s="2"/>
    </row>
    <row r="2" spans="1:13" x14ac:dyDescent="0.25">
      <c r="A2" s="11" t="s">
        <v>12</v>
      </c>
    </row>
    <row r="5" spans="1:13" x14ac:dyDescent="0.25">
      <c r="A5" s="20"/>
      <c r="B5" s="21"/>
      <c r="C5" s="38" t="s">
        <v>35</v>
      </c>
      <c r="D5" s="39"/>
      <c r="E5" s="39"/>
      <c r="F5" s="40"/>
    </row>
    <row r="6" spans="1:13" ht="14.45" customHeight="1" x14ac:dyDescent="0.25">
      <c r="A6" s="22"/>
      <c r="B6" s="23"/>
      <c r="C6" s="24" t="s">
        <v>36</v>
      </c>
      <c r="D6" s="25" t="s">
        <v>37</v>
      </c>
      <c r="E6" s="25" t="s">
        <v>38</v>
      </c>
      <c r="F6" s="25" t="s">
        <v>39</v>
      </c>
    </row>
    <row r="7" spans="1:13" x14ac:dyDescent="0.25">
      <c r="A7" s="41" t="s">
        <v>40</v>
      </c>
      <c r="B7" s="26">
        <v>1</v>
      </c>
      <c r="C7" s="17">
        <v>9</v>
      </c>
      <c r="D7" s="17">
        <v>10</v>
      </c>
      <c r="E7" s="17">
        <v>9</v>
      </c>
      <c r="F7" s="17">
        <v>4</v>
      </c>
    </row>
    <row r="8" spans="1:13" x14ac:dyDescent="0.25">
      <c r="A8" s="42"/>
      <c r="B8" s="25">
        <v>2</v>
      </c>
      <c r="C8" s="17">
        <v>2</v>
      </c>
      <c r="D8" s="17">
        <v>2</v>
      </c>
      <c r="E8" s="17">
        <v>12</v>
      </c>
      <c r="F8" s="17">
        <v>19</v>
      </c>
    </row>
    <row r="9" spans="1:13" x14ac:dyDescent="0.25">
      <c r="A9" s="42"/>
      <c r="B9" s="25">
        <v>3</v>
      </c>
      <c r="C9" s="17">
        <v>13</v>
      </c>
      <c r="D9" s="17">
        <v>19</v>
      </c>
      <c r="E9" s="17">
        <v>16</v>
      </c>
      <c r="F9" s="17">
        <v>17</v>
      </c>
    </row>
    <row r="10" spans="1:13" x14ac:dyDescent="0.25">
      <c r="A10" s="43"/>
      <c r="B10" s="25">
        <v>4</v>
      </c>
      <c r="C10" s="17">
        <v>4</v>
      </c>
      <c r="D10" s="17">
        <v>8</v>
      </c>
      <c r="E10" s="17">
        <v>9</v>
      </c>
      <c r="F10" s="17">
        <v>11</v>
      </c>
    </row>
    <row r="14" spans="1:13" x14ac:dyDescent="0.25">
      <c r="A14" s="20"/>
      <c r="B14" s="21"/>
      <c r="C14" s="38" t="s">
        <v>35</v>
      </c>
      <c r="D14" s="39"/>
      <c r="E14" s="39"/>
      <c r="F14" s="40"/>
    </row>
    <row r="15" spans="1:13" x14ac:dyDescent="0.25">
      <c r="A15" s="22"/>
      <c r="B15" s="23"/>
      <c r="C15" s="24" t="s">
        <v>36</v>
      </c>
      <c r="D15" s="25" t="s">
        <v>37</v>
      </c>
      <c r="E15" s="25" t="s">
        <v>38</v>
      </c>
      <c r="F15" s="25" t="s">
        <v>39</v>
      </c>
      <c r="J15" s="15" t="s">
        <v>57</v>
      </c>
      <c r="L15" t="s">
        <v>61</v>
      </c>
      <c r="M15" t="s">
        <v>62</v>
      </c>
    </row>
    <row r="16" spans="1:13" x14ac:dyDescent="0.25">
      <c r="A16" s="41" t="s">
        <v>40</v>
      </c>
      <c r="B16" s="26">
        <v>1</v>
      </c>
      <c r="C16" s="53">
        <v>1</v>
      </c>
      <c r="D16" s="53">
        <v>0</v>
      </c>
      <c r="E16" s="53">
        <v>0</v>
      </c>
      <c r="F16" s="53">
        <v>0</v>
      </c>
      <c r="G16" s="54">
        <f>SUM(C16:F16)</f>
        <v>1</v>
      </c>
      <c r="J16" s="52">
        <f>SUMPRODUCT(C7:F10,C16:F19)</f>
        <v>46</v>
      </c>
      <c r="L16">
        <f>SUMPRODUCT(C16:F16,C7:F7)</f>
        <v>9</v>
      </c>
      <c r="M16">
        <f>0.15*J16</f>
        <v>6.8999999999999995</v>
      </c>
    </row>
    <row r="17" spans="1:12" x14ac:dyDescent="0.25">
      <c r="A17" s="42"/>
      <c r="B17" s="25">
        <v>2</v>
      </c>
      <c r="C17" s="53">
        <v>0</v>
      </c>
      <c r="D17" s="53">
        <v>0</v>
      </c>
      <c r="E17" s="53">
        <v>1</v>
      </c>
      <c r="F17" s="53">
        <v>0</v>
      </c>
      <c r="G17" s="54">
        <f t="shared" ref="G17:G19" si="0">SUM(C17:F17)</f>
        <v>1</v>
      </c>
      <c r="L17">
        <f t="shared" ref="L17:L19" si="1">SUMPRODUCT(C17:F17,C8:F8)</f>
        <v>12</v>
      </c>
    </row>
    <row r="18" spans="1:12" x14ac:dyDescent="0.25">
      <c r="A18" s="42"/>
      <c r="B18" s="25">
        <v>3</v>
      </c>
      <c r="C18" s="53">
        <v>0</v>
      </c>
      <c r="D18" s="53">
        <v>0</v>
      </c>
      <c r="E18" s="53">
        <v>0</v>
      </c>
      <c r="F18" s="53">
        <v>1</v>
      </c>
      <c r="G18" s="54">
        <f t="shared" si="0"/>
        <v>1</v>
      </c>
      <c r="L18">
        <f>SUMPRODUCT(C18:F18,C9:F9)</f>
        <v>17</v>
      </c>
    </row>
    <row r="19" spans="1:12" x14ac:dyDescent="0.25">
      <c r="A19" s="43"/>
      <c r="B19" s="25">
        <v>4</v>
      </c>
      <c r="C19" s="53">
        <v>0</v>
      </c>
      <c r="D19" s="53">
        <v>1</v>
      </c>
      <c r="E19" s="53">
        <v>0</v>
      </c>
      <c r="F19" s="53">
        <v>0</v>
      </c>
      <c r="G19" s="54">
        <f t="shared" si="0"/>
        <v>1</v>
      </c>
      <c r="L19">
        <f t="shared" si="1"/>
        <v>8</v>
      </c>
    </row>
    <row r="20" spans="1:12" x14ac:dyDescent="0.25">
      <c r="C20" s="46">
        <f>SUM(C16:C19)</f>
        <v>1</v>
      </c>
      <c r="D20" s="46">
        <f t="shared" ref="D20:F20" si="2">SUM(D16:D19)</f>
        <v>1</v>
      </c>
      <c r="E20" s="46">
        <f t="shared" si="2"/>
        <v>1</v>
      </c>
      <c r="F20" s="46">
        <f t="shared" si="2"/>
        <v>1</v>
      </c>
    </row>
  </sheetData>
  <mergeCells count="4">
    <mergeCell ref="C5:F5"/>
    <mergeCell ref="A7:A10"/>
    <mergeCell ref="C14:F14"/>
    <mergeCell ref="A16:A19"/>
  </mergeCells>
  <conditionalFormatting sqref="C16:F19">
    <cfRule type="cellIs" dxfId="0" priority="1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VSeti</cp:lastModifiedBy>
  <dcterms:created xsi:type="dcterms:W3CDTF">2025-11-28T21:09:32Z</dcterms:created>
  <dcterms:modified xsi:type="dcterms:W3CDTF">2026-10-21T11:20:13Z</dcterms:modified>
</cp:coreProperties>
</file>